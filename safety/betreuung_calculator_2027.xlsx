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ator" sheetId="1" state="visible" r:id="rId3"/>
    <sheet name="Referenc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<sst xmlns="http://schemas.openxmlformats.org/spreadsheetml/2006/main" count="65" uniqueCount="57">
  <si>
    <t xml:space="preserve">FaSi &amp; Betriebsarzt Betreuung – Grund- und Betriebsspezifische Betreuung</t>
  </si>
  <si>
    <t xml:space="preserve">Legend: blue text on yellow = input cells to edit; black = formulas. Rows shown are examples – overwrite with your site's data.</t>
  </si>
  <si>
    <t xml:space="preserve">Site</t>
  </si>
  <si>
    <t xml:space="preserve">Example Site</t>
  </si>
  <si>
    <t xml:space="preserve">Year</t>
  </si>
  <si>
    <t xml:space="preserve">2027</t>
  </si>
  <si>
    <t xml:space="preserve">FaSi share of Grundbetreuung</t>
  </si>
  <si>
    <t xml:space="preserve">Betriebsarzt share</t>
  </si>
  <si>
    <t xml:space="preserve">1. Grundbetreuung (by area)</t>
  </si>
  <si>
    <t xml:space="preserve">Area / department</t>
  </si>
  <si>
    <t xml:space="preserve">WZ code</t>
  </si>
  <si>
    <t xml:space="preserve">Betreuungsgruppe (I / II / III)</t>
  </si>
  <si>
    <t xml:space="preserve">Employees 2027 (avg. headcount)</t>
  </si>
  <si>
    <t xml:space="preserve">h per employee</t>
  </si>
  <si>
    <t xml:space="preserve">Grundbetreuung total (h)</t>
  </si>
  <si>
    <t xml:space="preserve">of which FaSi (h)</t>
  </si>
  <si>
    <t xml:space="preserve">of which Betriebsarzt (h)</t>
  </si>
  <si>
    <t xml:space="preserve">Warehouse / logistics</t>
  </si>
  <si>
    <t xml:space="preserve">52.10</t>
  </si>
  <si>
    <t xml:space="preserve">II</t>
  </si>
  <si>
    <t xml:space="preserve">Office / admin</t>
  </si>
  <si>
    <t xml:space="preserve">III</t>
  </si>
  <si>
    <t xml:space="preserve">Total Grundbetreuung</t>
  </si>
  <si>
    <t xml:space="preserve">2. Betriebsspezifische Betreuung (hours per driver, from site needs assessment)</t>
  </si>
  <si>
    <t xml:space="preserve">Driver / topic</t>
  </si>
  <si>
    <t xml:space="preserve">FaSi (h)</t>
  </si>
  <si>
    <t xml:space="preserve">Betriebsarzt (h)</t>
  </si>
  <si>
    <t xml:space="preserve">Basis / comment</t>
  </si>
  <si>
    <t xml:space="preserve">Gefährdungsbeurteilung updates &amp; audits</t>
  </si>
  <si>
    <t xml:space="preserve">Example – overwrite</t>
  </si>
  <si>
    <t xml:space="preserve">Arbeitsmedizinische Vorsorge (G25, G37, etc.)</t>
  </si>
  <si>
    <t xml:space="preserve">ASA meetings &amp; site walkthroughs</t>
  </si>
  <si>
    <t xml:space="preserve">Projects: new equipment / layout changes</t>
  </si>
  <si>
    <t xml:space="preserve">Ergonomics, manual handling programme</t>
  </si>
  <si>
    <t xml:space="preserve">Total Betriebsspezifische Betreuung</t>
  </si>
  <si>
    <t xml:space="preserve">Total (h)</t>
  </si>
  <si>
    <t xml:space="preserve">Grundbetreuung</t>
  </si>
  <si>
    <t xml:space="preserve">Betriebsspezifische Betreuung</t>
  </si>
  <si>
    <t xml:space="preserve">Gesamtbetreuung (h per year)</t>
  </si>
  <si>
    <t xml:space="preserve">FTE equivalent (at productive h per FTE, see Reference)</t>
  </si>
  <si>
    <t xml:space="preserve">Gesamtbetreuung per employee (h)</t>
  </si>
  <si>
    <t xml:space="preserve">Betriebsspezifisch as % of Gesamtbetreuung</t>
  </si>
  <si>
    <t xml:space="preserve">Reference – DGUV Vorschrift 2, Anlage 2 (Betreuungsgruppen, Grundbetreuung)</t>
  </si>
  <si>
    <t xml:space="preserve">Betreuungsgruppe</t>
  </si>
  <si>
    <t xml:space="preserve">Risk level</t>
  </si>
  <si>
    <t xml:space="preserve">Grundbetreuung (h per employee per year)</t>
  </si>
  <si>
    <t xml:space="preserve">I</t>
  </si>
  <si>
    <t xml:space="preserve">High</t>
  </si>
  <si>
    <t xml:space="preserve">Medium</t>
  </si>
  <si>
    <t xml:space="preserve">Low</t>
  </si>
  <si>
    <t xml:space="preserve">Minimum share of Grundbetreuung per discipline (FaSi / Betriebsarzt)</t>
  </si>
  <si>
    <t xml:space="preserve">Productive hours per FTE per year (for FTE conversion only)</t>
  </si>
  <si>
    <t xml:space="preserve">Sources and assumptions</t>
  </si>
  <si>
    <t xml:space="preserve">Betreuungsgruppe for the site: user checked DGUV Vorschrift 2 (BGHW Medienshop PDF, approx. p. 23): Section H, WZ 52.1 Warehousing = Group II (medium risk). Source: user.</t>
  </si>
  <si>
    <t xml:space="preserve">Hours per employee (2.5 / 1.5 / 0.5) and the 20 % minimum per discipline are entered from the standard DGUV V2 Anlage 2 wording. Verify against the PDF and edit the blue cells if they differ.</t>
  </si>
  <si>
    <t xml:space="preserve">Betriebsspezifische Betreuung has no fixed formula; hours come from the site's own needs assessment (Gefährdungsbeurteilung, FaSi/BA agreement).</t>
  </si>
  <si>
    <t xml:space="preserve">Productive hours per FTE (1,600) is a placeholder assumption – replace with your contract/provider standard.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</si>
</sst>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%"/>
    <numFmt numFmtId="166" formatCode="#,##0;\(#,##0\);\-"/>
    <numFmt numFmtId="167" formatCode="0.0"/>
    <numFmt numFmtId="168" formatCode="#,##0.0;\(#,##0.0\);\-"/>
    <numFmt numFmtId="169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color theme="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4" min="3" style="0" width="18"/>
    <col collapsed="false" customWidth="true" hidden="false" outlineLevel="0" max="5" min="5" style="0" width="14"/>
    <col collapsed="false" customWidth="true" hidden="false" outlineLevel="0" max="7" min="6" style="0" width="18"/>
    <col collapsed="false" customWidth="true" hidden="false" outlineLevel="0" max="8" min="8" style="0" width="30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4" t="s">
        <v>2</v>
      </c>
      <c r="B4" s="5" t="s">
        <v>3</v>
      </c>
      <c r="C4" s="2"/>
      <c r="D4" s="2"/>
      <c r="E4" s="2"/>
      <c r="F4" s="2"/>
      <c r="G4" s="2"/>
      <c r="H4" s="2"/>
    </row>
    <row r="5" customFormat="false" ht="15" hidden="false" customHeight="false" outlineLevel="0" collapsed="false">
      <c r="A5" s="4" t="s">
        <v>4</v>
      </c>
      <c r="B5" s="6" t="s">
        <v>5</v>
      </c>
      <c r="C5" s="2"/>
      <c r="D5" s="2"/>
      <c r="E5" s="2"/>
      <c r="F5" s="2"/>
      <c r="G5" s="2"/>
      <c r="H5" s="2"/>
    </row>
    <row r="6" customFormat="false" ht="15" hidden="false" customHeight="false" outlineLevel="0" collapsed="false">
      <c r="A6" s="4" t="s">
        <v>6</v>
      </c>
      <c r="B6" s="7" t="n">
        <v>0.5</v>
      </c>
      <c r="C6" s="4" t="str">
        <f aca="false">IF(AND(B6&gt;=Reference!C8,1-B6&gt;=Reference!C8),"OK – both disciplines at or above minimum","CHECK – a discipline is below the minimum share")</f>
        <v>OK – both disciplines at or above minimum</v>
      </c>
      <c r="D6" s="2"/>
      <c r="E6" s="2"/>
      <c r="F6" s="2"/>
      <c r="G6" s="2"/>
      <c r="H6" s="2"/>
    </row>
    <row r="7" customFormat="false" ht="15" hidden="false" customHeight="false" outlineLevel="0" collapsed="false">
      <c r="A7" s="4" t="s">
        <v>7</v>
      </c>
      <c r="B7" s="8" t="n">
        <f aca="false">1-B6</f>
        <v>0.5</v>
      </c>
      <c r="C7" s="2"/>
      <c r="D7" s="2"/>
      <c r="E7" s="2"/>
      <c r="F7" s="2"/>
      <c r="G7" s="2"/>
      <c r="H7" s="2"/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  <c r="H8" s="2"/>
    </row>
    <row r="9" customFormat="false" ht="15" hidden="false" customHeight="false" outlineLevel="0" collapsed="false">
      <c r="A9" s="4" t="s">
        <v>8</v>
      </c>
      <c r="B9" s="2"/>
      <c r="C9" s="2"/>
      <c r="D9" s="2"/>
      <c r="E9" s="2"/>
      <c r="F9" s="2"/>
      <c r="G9" s="2"/>
      <c r="H9" s="2"/>
    </row>
    <row r="10" customFormat="false" ht="45" hidden="false" customHeight="true" outlineLevel="0" collapsed="false">
      <c r="A10" s="9" t="s">
        <v>9</v>
      </c>
      <c r="B10" s="9" t="s">
        <v>10</v>
      </c>
      <c r="C10" s="9" t="s">
        <v>11</v>
      </c>
      <c r="D10" s="9" t="s">
        <v>12</v>
      </c>
      <c r="E10" s="9" t="s">
        <v>13</v>
      </c>
      <c r="F10" s="9" t="s">
        <v>14</v>
      </c>
      <c r="G10" s="9" t="s">
        <v>15</v>
      </c>
      <c r="H10" s="9" t="s">
        <v>16</v>
      </c>
    </row>
    <row r="11" customFormat="false" ht="15" hidden="false" customHeight="false" outlineLevel="0" collapsed="false">
      <c r="A11" s="5" t="s">
        <v>17</v>
      </c>
      <c r="B11" s="5" t="s">
        <v>18</v>
      </c>
      <c r="C11" s="10" t="s">
        <v>19</v>
      </c>
      <c r="D11" s="11" t="n">
        <v>250</v>
      </c>
      <c r="E11" s="12" t="n">
        <f aca="false">IF(C11="","",INDEX(Reference!$C$4:$C$6,MATCH(C11,Reference!$A$4:$A$6,0)))</f>
        <v>1.5</v>
      </c>
      <c r="F11" s="13" t="n">
        <f aca="false">IF(C11="",0,D11*E11)</f>
        <v>375</v>
      </c>
      <c r="G11" s="13" t="n">
        <f aca="false">F11*$B$6</f>
        <v>187.5</v>
      </c>
      <c r="H11" s="13" t="n">
        <f aca="false">F11*$B$7</f>
        <v>187.5</v>
      </c>
    </row>
    <row r="12" customFormat="false" ht="15" hidden="false" customHeight="false" outlineLevel="0" collapsed="false">
      <c r="A12" s="5" t="s">
        <v>20</v>
      </c>
      <c r="B12" s="5"/>
      <c r="C12" s="10" t="s">
        <v>21</v>
      </c>
      <c r="D12" s="11" t="n">
        <v>40</v>
      </c>
      <c r="E12" s="12" t="n">
        <f aca="false">IF(C12="","",INDEX(Reference!$C$4:$C$6,MATCH(C12,Reference!$A$4:$A$6,0)))</f>
        <v>0.5</v>
      </c>
      <c r="F12" s="13" t="n">
        <f aca="false">IF(C12="",0,D12*E12)</f>
        <v>20</v>
      </c>
      <c r="G12" s="13" t="n">
        <f aca="false">F12*$B$6</f>
        <v>10</v>
      </c>
      <c r="H12" s="13" t="n">
        <f aca="false">F12*$B$7</f>
        <v>10</v>
      </c>
    </row>
    <row r="13" customFormat="false" ht="15" hidden="false" customHeight="false" outlineLevel="0" collapsed="false">
      <c r="A13" s="5"/>
      <c r="B13" s="5"/>
      <c r="C13" s="10"/>
      <c r="D13" s="11"/>
      <c r="E13" s="12" t="str">
        <f aca="false">IF(C13="","",INDEX(Reference!$C$4:$C$6,MATCH(C13,Reference!$A$4:$A$6,0)))</f>
        <v/>
      </c>
      <c r="F13" s="13" t="n">
        <f aca="false">IF(C13="",0,D13*E13)</f>
        <v>0</v>
      </c>
      <c r="G13" s="13" t="n">
        <f aca="false">F13*$B$6</f>
        <v>0</v>
      </c>
      <c r="H13" s="13" t="n">
        <f aca="false">F13*$B$7</f>
        <v>0</v>
      </c>
    </row>
    <row r="14" customFormat="false" ht="15" hidden="false" customHeight="false" outlineLevel="0" collapsed="false">
      <c r="A14" s="5"/>
      <c r="B14" s="5"/>
      <c r="C14" s="10"/>
      <c r="D14" s="11"/>
      <c r="E14" s="12" t="str">
        <f aca="false">IF(C14="","",INDEX(Reference!$C$4:$C$6,MATCH(C14,Reference!$A$4:$A$6,0)))</f>
        <v/>
      </c>
      <c r="F14" s="13" t="n">
        <f aca="false">IF(C14="",0,D14*E14)</f>
        <v>0</v>
      </c>
      <c r="G14" s="13" t="n">
        <f aca="false">F14*$B$6</f>
        <v>0</v>
      </c>
      <c r="H14" s="13" t="n">
        <f aca="false">F14*$B$7</f>
        <v>0</v>
      </c>
    </row>
    <row r="15" customFormat="false" ht="15" hidden="false" customHeight="false" outlineLevel="0" collapsed="false">
      <c r="A15" s="5"/>
      <c r="B15" s="5"/>
      <c r="C15" s="10"/>
      <c r="D15" s="11"/>
      <c r="E15" s="12" t="str">
        <f aca="false">IF(C15="","",INDEX(Reference!$C$4:$C$6,MATCH(C15,Reference!$A$4:$A$6,0)))</f>
        <v/>
      </c>
      <c r="F15" s="13" t="n">
        <f aca="false">IF(C15="",0,D15*E15)</f>
        <v>0</v>
      </c>
      <c r="G15" s="13" t="n">
        <f aca="false">F15*$B$6</f>
        <v>0</v>
      </c>
      <c r="H15" s="13" t="n">
        <f aca="false">F15*$B$7</f>
        <v>0</v>
      </c>
    </row>
    <row r="16" customFormat="false" ht="15" hidden="false" customHeight="false" outlineLevel="0" collapsed="false">
      <c r="A16" s="5"/>
      <c r="B16" s="5"/>
      <c r="C16" s="10"/>
      <c r="D16" s="11"/>
      <c r="E16" s="12" t="str">
        <f aca="false">IF(C16="","",INDEX(Reference!$C$4:$C$6,MATCH(C16,Reference!$A$4:$A$6,0)))</f>
        <v/>
      </c>
      <c r="F16" s="13" t="n">
        <f aca="false">IF(C16="",0,D16*E16)</f>
        <v>0</v>
      </c>
      <c r="G16" s="13" t="n">
        <f aca="false">F16*$B$6</f>
        <v>0</v>
      </c>
      <c r="H16" s="13" t="n">
        <f aca="false">F16*$B$7</f>
        <v>0</v>
      </c>
    </row>
    <row r="17" customFormat="false" ht="15" hidden="false" customHeight="false" outlineLevel="0" collapsed="false">
      <c r="A17" s="5"/>
      <c r="B17" s="5"/>
      <c r="C17" s="10"/>
      <c r="D17" s="11"/>
      <c r="E17" s="12" t="str">
        <f aca="false">IF(C17="","",INDEX(Reference!$C$4:$C$6,MATCH(C17,Reference!$A$4:$A$6,0)))</f>
        <v/>
      </c>
      <c r="F17" s="13" t="n">
        <f aca="false">IF(C17="",0,D17*E17)</f>
        <v>0</v>
      </c>
      <c r="G17" s="13" t="n">
        <f aca="false">F17*$B$6</f>
        <v>0</v>
      </c>
      <c r="H17" s="13" t="n">
        <f aca="false">F17*$B$7</f>
        <v>0</v>
      </c>
    </row>
    <row r="18" customFormat="false" ht="15" hidden="false" customHeight="false" outlineLevel="0" collapsed="false">
      <c r="A18" s="5"/>
      <c r="B18" s="5"/>
      <c r="C18" s="10"/>
      <c r="D18" s="11"/>
      <c r="E18" s="12" t="str">
        <f aca="false">IF(C18="","",INDEX(Reference!$C$4:$C$6,MATCH(C18,Reference!$A$4:$A$6,0)))</f>
        <v/>
      </c>
      <c r="F18" s="13" t="n">
        <f aca="false">IF(C18="",0,D18*E18)</f>
        <v>0</v>
      </c>
      <c r="G18" s="13" t="n">
        <f aca="false">F18*$B$6</f>
        <v>0</v>
      </c>
      <c r="H18" s="13" t="n">
        <f aca="false">F18*$B$7</f>
        <v>0</v>
      </c>
    </row>
    <row r="19" customFormat="false" ht="15" hidden="false" customHeight="false" outlineLevel="0" collapsed="false">
      <c r="A19" s="5"/>
      <c r="B19" s="5"/>
      <c r="C19" s="10"/>
      <c r="D19" s="11"/>
      <c r="E19" s="12" t="str">
        <f aca="false">IF(C19="","",INDEX(Reference!$C$4:$C$6,MATCH(C19,Reference!$A$4:$A$6,0)))</f>
        <v/>
      </c>
      <c r="F19" s="13" t="n">
        <f aca="false">IF(C19="",0,D19*E19)</f>
        <v>0</v>
      </c>
      <c r="G19" s="13" t="n">
        <f aca="false">F19*$B$6</f>
        <v>0</v>
      </c>
      <c r="H19" s="13" t="n">
        <f aca="false">F19*$B$7</f>
        <v>0</v>
      </c>
    </row>
    <row r="20" customFormat="false" ht="15" hidden="false" customHeight="false" outlineLevel="0" collapsed="false">
      <c r="A20" s="5"/>
      <c r="B20" s="5"/>
      <c r="C20" s="10"/>
      <c r="D20" s="11"/>
      <c r="E20" s="12" t="str">
        <f aca="false">IF(C20="","",INDEX(Reference!$C$4:$C$6,MATCH(C20,Reference!$A$4:$A$6,0)))</f>
        <v/>
      </c>
      <c r="F20" s="13" t="n">
        <f aca="false">IF(C20="",0,D20*E20)</f>
        <v>0</v>
      </c>
      <c r="G20" s="13" t="n">
        <f aca="false">F20*$B$6</f>
        <v>0</v>
      </c>
      <c r="H20" s="13" t="n">
        <f aca="false">F20*$B$7</f>
        <v>0</v>
      </c>
    </row>
    <row r="21" customFormat="false" ht="15" hidden="false" customHeight="false" outlineLevel="0" collapsed="false">
      <c r="A21" s="14" t="s">
        <v>22</v>
      </c>
      <c r="B21" s="14"/>
      <c r="C21" s="14"/>
      <c r="D21" s="15" t="n">
        <f aca="false">SUM(D11:D20)</f>
        <v>290</v>
      </c>
      <c r="E21" s="16" t="n">
        <f aca="false">IF(D21=0,0,F21/D21)</f>
        <v>1.36206896551724</v>
      </c>
      <c r="F21" s="17" t="n">
        <f aca="false">SUM(F11:F20)</f>
        <v>395</v>
      </c>
      <c r="G21" s="17" t="n">
        <f aca="false">SUM(G11:G20)</f>
        <v>197.5</v>
      </c>
      <c r="H21" s="17" t="n">
        <f aca="false">SUM(H11:H20)</f>
        <v>197.5</v>
      </c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</row>
    <row r="23" customFormat="false" ht="15" hidden="false" customHeight="false" outlineLevel="0" collapsed="false">
      <c r="A23" s="4" t="s">
        <v>23</v>
      </c>
      <c r="B23" s="2"/>
      <c r="C23" s="2"/>
      <c r="D23" s="2"/>
      <c r="E23" s="2"/>
      <c r="F23" s="2"/>
      <c r="G23" s="2"/>
      <c r="H23" s="2"/>
    </row>
    <row r="24" customFormat="false" ht="30" hidden="false" customHeight="true" outlineLevel="0" collapsed="false">
      <c r="A24" s="9" t="s">
        <v>24</v>
      </c>
      <c r="B24" s="9"/>
      <c r="C24" s="9"/>
      <c r="D24" s="9"/>
      <c r="E24" s="9"/>
      <c r="F24" s="9" t="s">
        <v>25</v>
      </c>
      <c r="G24" s="9" t="s">
        <v>26</v>
      </c>
      <c r="H24" s="9" t="s">
        <v>27</v>
      </c>
    </row>
    <row r="25" customFormat="false" ht="15" hidden="false" customHeight="false" outlineLevel="0" collapsed="false">
      <c r="A25" s="5" t="s">
        <v>28</v>
      </c>
      <c r="B25" s="5"/>
      <c r="C25" s="5"/>
      <c r="D25" s="5"/>
      <c r="E25" s="5"/>
      <c r="F25" s="18" t="n">
        <v>60</v>
      </c>
      <c r="G25" s="18" t="n">
        <v>0</v>
      </c>
      <c r="H25" s="5" t="s">
        <v>29</v>
      </c>
    </row>
    <row r="26" customFormat="false" ht="15" hidden="false" customHeight="false" outlineLevel="0" collapsed="false">
      <c r="A26" s="5" t="s">
        <v>30</v>
      </c>
      <c r="B26" s="5"/>
      <c r="C26" s="5"/>
      <c r="D26" s="5"/>
      <c r="E26" s="5"/>
      <c r="F26" s="18" t="n">
        <v>0</v>
      </c>
      <c r="G26" s="18" t="n">
        <v>80</v>
      </c>
      <c r="H26" s="5" t="s">
        <v>29</v>
      </c>
    </row>
    <row r="27" customFormat="false" ht="15" hidden="false" customHeight="false" outlineLevel="0" collapsed="false">
      <c r="A27" s="5" t="s">
        <v>31</v>
      </c>
      <c r="B27" s="5"/>
      <c r="C27" s="5"/>
      <c r="D27" s="5"/>
      <c r="E27" s="5"/>
      <c r="F27" s="18" t="n">
        <v>24</v>
      </c>
      <c r="G27" s="18" t="n">
        <v>12</v>
      </c>
      <c r="H27" s="5" t="s">
        <v>29</v>
      </c>
    </row>
    <row r="28" customFormat="false" ht="15" hidden="false" customHeight="false" outlineLevel="0" collapsed="false">
      <c r="A28" s="5" t="s">
        <v>32</v>
      </c>
      <c r="B28" s="5"/>
      <c r="C28" s="5"/>
      <c r="D28" s="5"/>
      <c r="E28" s="5"/>
      <c r="F28" s="18" t="n">
        <v>40</v>
      </c>
      <c r="G28" s="18" t="n">
        <v>8</v>
      </c>
      <c r="H28" s="5" t="s">
        <v>29</v>
      </c>
    </row>
    <row r="29" customFormat="false" ht="15" hidden="false" customHeight="false" outlineLevel="0" collapsed="false">
      <c r="A29" s="5" t="s">
        <v>33</v>
      </c>
      <c r="B29" s="5"/>
      <c r="C29" s="5"/>
      <c r="D29" s="5"/>
      <c r="E29" s="5"/>
      <c r="F29" s="18" t="n">
        <v>20</v>
      </c>
      <c r="G29" s="18" t="n">
        <v>20</v>
      </c>
      <c r="H29" s="5" t="s">
        <v>29</v>
      </c>
    </row>
    <row r="30" customFormat="false" ht="15" hidden="false" customHeight="false" outlineLevel="0" collapsed="false">
      <c r="A30" s="5"/>
      <c r="B30" s="5"/>
      <c r="C30" s="5"/>
      <c r="D30" s="5"/>
      <c r="E30" s="5"/>
      <c r="F30" s="18"/>
      <c r="G30" s="18"/>
      <c r="H30" s="5"/>
    </row>
    <row r="31" customFormat="false" ht="15" hidden="false" customHeight="false" outlineLevel="0" collapsed="false">
      <c r="A31" s="5"/>
      <c r="B31" s="5"/>
      <c r="C31" s="5"/>
      <c r="D31" s="5"/>
      <c r="E31" s="5"/>
      <c r="F31" s="18"/>
      <c r="G31" s="18"/>
      <c r="H31" s="5"/>
    </row>
    <row r="32" customFormat="false" ht="15" hidden="false" customHeight="false" outlineLevel="0" collapsed="false">
      <c r="A32" s="5"/>
      <c r="B32" s="5"/>
      <c r="C32" s="5"/>
      <c r="D32" s="5"/>
      <c r="E32" s="5"/>
      <c r="F32" s="18"/>
      <c r="G32" s="18"/>
      <c r="H32" s="5"/>
    </row>
    <row r="33" customFormat="false" ht="15" hidden="false" customHeight="false" outlineLevel="0" collapsed="false">
      <c r="A33" s="14" t="s">
        <v>34</v>
      </c>
      <c r="B33" s="14"/>
      <c r="C33" s="14"/>
      <c r="D33" s="14"/>
      <c r="E33" s="14"/>
      <c r="F33" s="17" t="n">
        <f aca="false">SUM(F25:F32)</f>
        <v>144</v>
      </c>
      <c r="G33" s="17" t="n">
        <f aca="false">SUM(G25:G32)</f>
        <v>120</v>
      </c>
      <c r="H33" s="14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</row>
    <row r="35" customFormat="false" ht="15" hidden="false" customHeight="false" outlineLevel="0" collapsed="false">
      <c r="A35" s="4" t="str">
        <f aca="false">"3. Gesamtbetreuung "&amp;B5</f>
        <v>3. Gesamtbetreuung 2027</v>
      </c>
      <c r="B35" s="2"/>
      <c r="C35" s="2"/>
      <c r="D35" s="2"/>
      <c r="E35" s="2"/>
      <c r="F35" s="2"/>
      <c r="G35" s="2"/>
      <c r="H35" s="2"/>
    </row>
    <row r="36" customFormat="false" ht="15" hidden="false" customHeight="false" outlineLevel="0" collapsed="false">
      <c r="A36" s="9"/>
      <c r="B36" s="9"/>
      <c r="C36" s="9"/>
      <c r="D36" s="9"/>
      <c r="E36" s="9"/>
      <c r="F36" s="9" t="s">
        <v>25</v>
      </c>
      <c r="G36" s="9" t="s">
        <v>26</v>
      </c>
      <c r="H36" s="9" t="s">
        <v>35</v>
      </c>
    </row>
    <row r="37" customFormat="false" ht="15" hidden="false" customHeight="false" outlineLevel="0" collapsed="false">
      <c r="A37" s="19" t="s">
        <v>36</v>
      </c>
      <c r="B37" s="19"/>
      <c r="C37" s="19"/>
      <c r="D37" s="19"/>
      <c r="E37" s="19"/>
      <c r="F37" s="13" t="n">
        <f aca="false">G21</f>
        <v>197.5</v>
      </c>
      <c r="G37" s="13" t="n">
        <f aca="false">H21</f>
        <v>197.5</v>
      </c>
      <c r="H37" s="13" t="n">
        <f aca="false">F37+G37</f>
        <v>395</v>
      </c>
    </row>
    <row r="38" customFormat="false" ht="15" hidden="false" customHeight="false" outlineLevel="0" collapsed="false">
      <c r="A38" s="19" t="s">
        <v>37</v>
      </c>
      <c r="B38" s="19"/>
      <c r="C38" s="19"/>
      <c r="D38" s="19"/>
      <c r="E38" s="19"/>
      <c r="F38" s="13" t="n">
        <f aca="false">F33</f>
        <v>144</v>
      </c>
      <c r="G38" s="13" t="n">
        <f aca="false">G33</f>
        <v>120</v>
      </c>
      <c r="H38" s="13" t="n">
        <f aca="false">F38+G38</f>
        <v>264</v>
      </c>
    </row>
    <row r="39" customFormat="false" ht="15" hidden="false" customHeight="false" outlineLevel="0" collapsed="false">
      <c r="A39" s="14" t="s">
        <v>38</v>
      </c>
      <c r="B39" s="14"/>
      <c r="C39" s="14"/>
      <c r="D39" s="14"/>
      <c r="E39" s="14"/>
      <c r="F39" s="17" t="n">
        <f aca="false">SUM(F37:F38)</f>
        <v>341.5</v>
      </c>
      <c r="G39" s="17" t="n">
        <f aca="false">SUM(G37:G38)</f>
        <v>317.5</v>
      </c>
      <c r="H39" s="17" t="n">
        <f aca="false">SUM(H37:H38)</f>
        <v>659</v>
      </c>
    </row>
    <row r="40" customFormat="false" ht="15" hidden="false" customHeight="false" outlineLevel="0" collapsed="false">
      <c r="A40" s="19" t="s">
        <v>39</v>
      </c>
      <c r="B40" s="19"/>
      <c r="C40" s="19"/>
      <c r="D40" s="19"/>
      <c r="E40" s="19"/>
      <c r="F40" s="20" t="n">
        <f aca="false">F39/Reference!$C$9</f>
        <v>0.2134375</v>
      </c>
      <c r="G40" s="20" t="n">
        <f aca="false">G39/Reference!$C$9</f>
        <v>0.1984375</v>
      </c>
      <c r="H40" s="20" t="n">
        <f aca="false">H39/Reference!$C$9</f>
        <v>0.411875</v>
      </c>
    </row>
    <row r="41" customFormat="false" ht="15" hidden="false" customHeight="false" outlineLevel="0" collapsed="false">
      <c r="A41" s="19" t="s">
        <v>40</v>
      </c>
      <c r="B41" s="19"/>
      <c r="C41" s="19"/>
      <c r="D41" s="19"/>
      <c r="E41" s="19"/>
      <c r="F41" s="19"/>
      <c r="G41" s="19"/>
      <c r="H41" s="20" t="n">
        <f aca="false">IF(D21=0,0,H39/D21)</f>
        <v>2.27241379310345</v>
      </c>
    </row>
    <row r="42" customFormat="false" ht="15" hidden="false" customHeight="false" outlineLevel="0" collapsed="false">
      <c r="A42" s="19" t="s">
        <v>41</v>
      </c>
      <c r="B42" s="19"/>
      <c r="C42" s="19"/>
      <c r="D42" s="19"/>
      <c r="E42" s="19"/>
      <c r="F42" s="21" t="n">
        <f aca="false">IF(F39=0,0,F38/F39)</f>
        <v>0.421669106881406</v>
      </c>
      <c r="G42" s="21" t="n">
        <f aca="false">IF(G39=0,0,G38/G39)</f>
        <v>0.377952755905512</v>
      </c>
      <c r="H42" s="21" t="n">
        <f aca="false">IF(H39=0,0,H38/H39)</f>
        <v>0.400606980273141</v>
      </c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</row>
  </sheetData>
  <mergeCells count="15"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7:E37"/>
    <mergeCell ref="A38:E38"/>
    <mergeCell ref="A39:E39"/>
    <mergeCell ref="A40:E40"/>
    <mergeCell ref="A41:E41"/>
    <mergeCell ref="A42:E42"/>
  </mergeCells>
  <dataValidations count="1">
    <dataValidation allowBlank="true" errorStyle="stop" operator="between" showDropDown="false" showErrorMessage="false" showInputMessage="false" sqref="C11:C20" type="list">
      <formula1>"I,II,III"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4"/>
    <col collapsed="false" customWidth="true" hidden="false" outlineLevel="0" max="3" min="3" style="0" width="36"/>
  </cols>
  <sheetData>
    <row r="1" customFormat="false" ht="17.35" hidden="false" customHeight="false" outlineLevel="0" collapsed="false">
      <c r="A1" s="1" t="s">
        <v>42</v>
      </c>
      <c r="B1" s="2"/>
      <c r="C1" s="2"/>
    </row>
    <row r="2" customFormat="false" ht="15" hidden="false" customHeight="false" outlineLevel="0" collapsed="false">
      <c r="A2" s="2"/>
      <c r="B2" s="2"/>
      <c r="C2" s="2"/>
    </row>
    <row r="3" customFormat="false" ht="31.5" hidden="false" customHeight="true" outlineLevel="0" collapsed="false">
      <c r="A3" s="9" t="s">
        <v>43</v>
      </c>
      <c r="B3" s="9" t="s">
        <v>44</v>
      </c>
      <c r="C3" s="9" t="s">
        <v>45</v>
      </c>
    </row>
    <row r="4" customFormat="false" ht="15" hidden="false" customHeight="false" outlineLevel="0" collapsed="false">
      <c r="A4" s="22" t="s">
        <v>46</v>
      </c>
      <c r="B4" s="22" t="s">
        <v>47</v>
      </c>
      <c r="C4" s="23" t="n">
        <v>2.5</v>
      </c>
    </row>
    <row r="5" customFormat="false" ht="15" hidden="false" customHeight="false" outlineLevel="0" collapsed="false">
      <c r="A5" s="22" t="s">
        <v>19</v>
      </c>
      <c r="B5" s="22" t="s">
        <v>48</v>
      </c>
      <c r="C5" s="23" t="n">
        <v>1.5</v>
      </c>
    </row>
    <row r="6" customFormat="false" ht="15" hidden="false" customHeight="false" outlineLevel="0" collapsed="false">
      <c r="A6" s="22" t="s">
        <v>21</v>
      </c>
      <c r="B6" s="22" t="s">
        <v>49</v>
      </c>
      <c r="C6" s="23" t="n">
        <v>0.5</v>
      </c>
    </row>
    <row r="7" customFormat="false" ht="15" hidden="false" customHeight="false" outlineLevel="0" collapsed="false">
      <c r="A7" s="2"/>
      <c r="B7" s="2"/>
      <c r="C7" s="2"/>
    </row>
    <row r="8" customFormat="false" ht="15" hidden="false" customHeight="false" outlineLevel="0" collapsed="false">
      <c r="A8" s="2" t="s">
        <v>50</v>
      </c>
      <c r="B8" s="2"/>
      <c r="C8" s="24" t="n">
        <v>0.2</v>
      </c>
    </row>
    <row r="9" customFormat="false" ht="15" hidden="false" customHeight="false" outlineLevel="0" collapsed="false">
      <c r="A9" s="2" t="s">
        <v>51</v>
      </c>
      <c r="B9" s="2"/>
      <c r="C9" s="25" t="n">
        <v>1600</v>
      </c>
    </row>
    <row r="10" customFormat="false" ht="15" hidden="false" customHeight="false" outlineLevel="0" collapsed="false">
      <c r="A10" s="2"/>
      <c r="B10" s="2"/>
      <c r="C10" s="2"/>
    </row>
    <row r="11" customFormat="false" ht="15" hidden="false" customHeight="false" outlineLevel="0" collapsed="false">
      <c r="A11" s="4" t="s">
        <v>52</v>
      </c>
      <c r="B11" s="2"/>
      <c r="C11" s="2"/>
    </row>
    <row r="12" customFormat="false" ht="42" hidden="false" customHeight="true" outlineLevel="0" collapsed="false">
      <c r="A12" s="26" t="s">
        <v>53</v>
      </c>
      <c r="B12" s="26"/>
      <c r="C12" s="26"/>
    </row>
    <row r="13" customFormat="false" ht="42" hidden="false" customHeight="true" outlineLevel="0" collapsed="false">
      <c r="A13" s="26" t="s">
        <v>54</v>
      </c>
      <c r="B13" s="26"/>
      <c r="C13" s="26"/>
    </row>
    <row r="14" customFormat="false" ht="42" hidden="false" customHeight="true" outlineLevel="0" collapsed="false">
      <c r="A14" s="26" t="s">
        <v>55</v>
      </c>
      <c r="B14" s="26"/>
      <c r="C14" s="26"/>
    </row>
    <row r="15" customFormat="false" ht="42" hidden="false" customHeight="true" outlineLevel="0" collapsed="false">
      <c r="A15" s="26" t="s">
        <v>56</v>
      </c>
      <c r="B15" s="26"/>
      <c r="C15" s="26"/>
    </row>
  </sheetData>
  <mergeCells count="4">
    <mergeCell ref="A12:C12"/>
    <mergeCell ref="A13:C13"/>
    <mergeCell ref="A14:C14"/>
    <mergeCell ref="A15:C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2026-10-07T13:44:14Z</dcterms:created>
  <dc:creator>openpyxl</dc:creator>
  <dc:description/>
  <dc:language>en-US</dc:language>
  <cp:lastModifiedBy/>
  <dcterms:modified xsi:type="dcterms:W3CDTF">2026-10-07T13:44:14Z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